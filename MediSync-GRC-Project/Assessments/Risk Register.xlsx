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ishagupta/Downloads/"/>
    </mc:Choice>
  </mc:AlternateContent>
  <xr:revisionPtr revIDLastSave="0" documentId="8_{9CA4DA76-66AD-C545-A70B-1BFBAEB6534F}" xr6:coauthVersionLast="47" xr6:coauthVersionMax="47" xr10:uidLastSave="{00000000-0000-0000-0000-000000000000}"/>
  <bookViews>
    <workbookView xWindow="0" yWindow="500" windowWidth="28800" windowHeight="16180" activeTab="1" xr2:uid="{00000000-000D-0000-FFFF-FFFF00000000}"/>
  </bookViews>
  <sheets>
    <sheet name="Register" sheetId="1" r:id="rId1"/>
    <sheet name="Methodolog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<sst xmlns="http://schemas.openxmlformats.org/spreadsheetml/2006/main" count="202" uniqueCount="187">
  <si>
    <t>Likelihood Scale</t>
  </si>
  <si>
    <t>Risk ID</t>
  </si>
  <si>
    <t>Risk Name</t>
  </si>
  <si>
    <t>Asset</t>
  </si>
  <si>
    <t>Threat</t>
  </si>
  <si>
    <t>Vulnerability</t>
  </si>
  <si>
    <t>Likelihood (1-5)</t>
  </si>
  <si>
    <t>Impact (1-5)</t>
  </si>
  <si>
    <t>Risk Score (formula: =F*G)</t>
  </si>
  <si>
    <t>Risk Level (formula)</t>
  </si>
  <si>
    <t>Current Controls</t>
  </si>
  <si>
    <t>Treatment</t>
  </si>
  <si>
    <t>Residual Risk</t>
  </si>
  <si>
    <t>Owner</t>
  </si>
  <si>
    <t>ISO 27001 Control</t>
  </si>
  <si>
    <t>R-001</t>
  </si>
  <si>
    <t>1 = Rare (less than once every 5 years) 
2 = Unlikely (once every 2–5 years) 
3 = Possible (once per year) 
4 = Likely (multiple times per year) 
5 = Almost certain (monthly or more)</t>
  </si>
  <si>
    <t>Ransomware attack on production database</t>
  </si>
  <si>
    <t>AWS RDS (PHI database)</t>
  </si>
  <si>
    <t>External threat actor</t>
  </si>
  <si>
    <t>Unpatched OS, phishing entry point</t>
  </si>
  <si>
    <t>Impact Scale</t>
  </si>
  <si>
    <t>1 = Negligible (no PHI exposure, minimal disruption) 
2 = Minor (limited PHI exposure under 500 records, &lt;4hr outage) 
3 = Moderate (500–5000 PHI records, 4–24hr outage, regulatory notice) 
4 = Major (5000–50000 PHI records, &gt;24hr outage, HHS notification) 
5 = Catastrophic (&gt;50000 PHI records, platform loss, criminal liability)</t>
  </si>
  <si>
    <t>RISK SCORE = Likelihood × Impact</t>
  </si>
  <si>
    <t>RISK LEVELS:</t>
  </si>
  <si>
    <t xml:space="preserve">1–4 = Low (accept or monitor)
5–9 = Medium (mitigate within 90 days)
10–15 = High (mitigate within 30 days)
16–25 = Critical (immediate action required)
</t>
  </si>
  <si>
    <t>RISK APPETITE: MediSync will not accept residual risk scores above 9 for systems processing PHI.</t>
  </si>
  <si>
    <t>WAF, EDR, monthly patching, MFA</t>
  </si>
  <si>
    <t>Mitigate — implement immutable backups, improve patch SLA to 15 days</t>
  </si>
  <si>
    <t>CISO</t>
  </si>
  <si>
    <t>A.8.7, A.8.8, A.12.3</t>
  </si>
  <si>
    <t>R-002</t>
  </si>
  <si>
    <t>Unauthorized PHI access by insider</t>
  </si>
  <si>
    <t>MediSync Care Platform</t>
  </si>
  <si>
    <t>Malicious or negligent employee</t>
  </si>
  <si>
    <t>Overly broad access rights, no DLP tool</t>
  </si>
  <si>
    <t>Role-based access, quarterly access reviews, Splunk logging</t>
  </si>
  <si>
    <t>Mitigate — implement DLP, add user behavior analytics to Splunk</t>
  </si>
  <si>
    <t>IT Manager</t>
  </si>
  <si>
    <t>A.8.2, A.8.3, A.5.15</t>
  </si>
  <si>
    <t>R-003</t>
  </si>
  <si>
    <t>Third-party EHR vendor breach exposing PHI</t>
  </si>
  <si>
    <t>FHIR API integration layer</t>
  </si>
  <si>
    <t>Compromised third-party vendor</t>
  </si>
  <si>
    <t>Insufficient vendor security assessment frequency</t>
  </si>
  <si>
    <t>BAAs in place, annual vendor security review</t>
  </si>
  <si>
    <t>Mitigate — implement quarterly vendor reviews, add API rate limiting and anomaly detection</t>
  </si>
  <si>
    <t>GRC Analyst</t>
  </si>
  <si>
    <t>A.5.19, A.5.20, A.5.21</t>
  </si>
  <si>
    <t>R-004</t>
  </si>
  <si>
    <t>Misconfigured AWS S3 bucket exposing PHI publicly</t>
  </si>
  <si>
    <t>AWS S3 (PHI storage)</t>
  </si>
  <si>
    <t>External attacker or accidental misconfiguration</t>
  </si>
  <si>
    <t>Lack of automated cloud configuration monitoring</t>
  </si>
  <si>
    <t>AWS CloudTrail enabled, manual S3 policy reviews</t>
  </si>
  <si>
    <t>Mitigate — enable AWS Config rules for S3 public access blocking, implement automated misconfiguration alerts</t>
  </si>
  <si>
    <t>Security Engineer</t>
  </si>
  <si>
    <t>A.8.9, A.8.10, A.5.23</t>
  </si>
  <si>
    <t>R-005</t>
  </si>
  <si>
    <t>Phishing attack leading to credential compromise</t>
  </si>
  <si>
    <t>Employee credentials, email system</t>
  </si>
  <si>
    <t>External threat actor via social engineering</t>
  </si>
  <si>
    <t>Employees susceptible to phishing, no anti-phishing simulation program</t>
  </si>
  <si>
    <t>MFA enabled, email filtering, annual security awareness training</t>
  </si>
  <si>
    <t>Mitigate — implement quarterly phishing simulations, deploy anti-phishing email gateway</t>
  </si>
  <si>
    <t>A.6.3, A.8.7, A.5.14</t>
  </si>
  <si>
    <t>R-006</t>
  </si>
  <si>
    <t>SQL injection attack on Care Platform web app</t>
  </si>
  <si>
    <t>MediSync Care Platform, AWS RDS</t>
  </si>
  <si>
    <t>External attacker</t>
  </si>
  <si>
    <t>Insufficient input validation, no WAF rule tuning</t>
  </si>
  <si>
    <t>WAF deployed, code reviews conducted, OWASP guidelines followed</t>
  </si>
  <si>
    <t>Mitigate — implement parameterized queries across all endpoints, conduct annual penetration test</t>
  </si>
  <si>
    <t>A.8.24, A.8.25, A.8.26</t>
  </si>
  <si>
    <t>R-007</t>
  </si>
  <si>
    <t>Loss or theft of employee laptop containing PHI</t>
  </si>
  <si>
    <t>Company-issued employee laptops</t>
  </si>
  <si>
    <t>Physical theft or accidental loss</t>
  </si>
  <si>
    <t>PHI cached locally on endpoints, no full disk encryption verification</t>
  </si>
  <si>
    <t>MDM enrolled, remote wipe capability, VPN required</t>
  </si>
  <si>
    <t>Mitigate — enforce full disk encryption via MDM policy, prohibit local PHI storage</t>
  </si>
  <si>
    <t>A.7.8, A.7.9, A.8.1</t>
  </si>
  <si>
    <t>R-008</t>
  </si>
  <si>
    <t>AWS region outage causing platform unavailability</t>
  </si>
  <si>
    <t>MediSync Care Platform, AWS us-east-1</t>
  </si>
  <si>
    <t>Cloud provider infrastructure failure</t>
  </si>
  <si>
    <t>Disaster recovery failover not tested, RTO unverified</t>
  </si>
  <si>
    <t>DR environment in us-west-2, automated backups, Route 53 failover configured</t>
  </si>
  <si>
    <t>Mitigate — conduct quarterly DR failover tests, document and validate RTO of 4 hours</t>
  </si>
  <si>
    <t>CTO</t>
  </si>
  <si>
    <t>A.8.13, A.8.14, A.5.29</t>
  </si>
  <si>
    <t>R-009</t>
  </si>
  <si>
    <t>Weak password policy enabling brute force</t>
  </si>
  <si>
    <t>Okta identity platform, all internal systems</t>
  </si>
  <si>
    <t>External attacker or credential stuffing</t>
  </si>
  <si>
    <t>Password policy not fully aligned to NIST SP 800-63B</t>
  </si>
  <si>
    <t>MFA required, Okta lockout policy after 5 failed attempts</t>
  </si>
  <si>
    <t>Mitigate — enforce 12-character minimum, disable password expiration per NIST guidance, implement breached password detection</t>
  </si>
  <si>
    <t>A.8.5, A.5.16, A.5.17</t>
  </si>
  <si>
    <t>R-010</t>
  </si>
  <si>
    <t>Failure to detect security incident due to SIEM gap</t>
  </si>
  <si>
    <t>Splunk Cloud SIEM</t>
  </si>
  <si>
    <t>Internal or external attacker operating undetected</t>
  </si>
  <si>
    <t>Alert rules not fully tuned, high false positive rate masking real threats</t>
  </si>
  <si>
    <t>Splunk Cloud deployed, basic alert rules configured</t>
  </si>
  <si>
    <t>Mitigate — dedicate security engineer time to Splunk tuning, implement UEBA rules, conduct monthly alert review</t>
  </si>
  <si>
    <t>A.8.15, A.8.16, A.5.25</t>
  </si>
  <si>
    <t>R-011</t>
  </si>
  <si>
    <t>Unpatched vulnerabilities in web application dependencies</t>
  </si>
  <si>
    <t>MediSync Care Platform codebase</t>
  </si>
  <si>
    <t>External attacker exploiting known CVEs</t>
  </si>
  <si>
    <t>No automated dependency scanning in CI/CD pipeline</t>
  </si>
  <si>
    <t>Qualys vulnerability scanning monthly, manual code reviews</t>
  </si>
  <si>
    <t>Mitigate — implement automated dependency scanning (Dependabot or Snyk), reduce critical CVE patch SLA to 15 days</t>
  </si>
  <si>
    <t>A.8.8, A.8.25, A.8.26</t>
  </si>
  <si>
    <t>R-012</t>
  </si>
  <si>
    <t>Unauthorized physical access to Cleveland HQ server room</t>
  </si>
  <si>
    <t>On-premises servers, domain controller</t>
  </si>
  <si>
    <t>Unauthorized internal or external individual</t>
  </si>
  <si>
    <t>No CCTV coverage of server room, badge access logs not regularly reviewed</t>
  </si>
  <si>
    <t>Badge access required, locked server room, visitor log maintained</t>
  </si>
  <si>
    <t>Mitigate — install CCTV in server room, implement monthly badge access log review</t>
  </si>
  <si>
    <t>A.7.1, A.7.2, A.7.3</t>
  </si>
  <si>
    <t>R-013</t>
  </si>
  <si>
    <t>Employee sharing PHI via unauthorized Slack channel</t>
  </si>
  <si>
    <t>PHI, Slack communications platform</t>
  </si>
  <si>
    <t>Negligent employee</t>
  </si>
  <si>
    <t>No DLP controls on Slack, PHI-prohibition policy not consistently enforced</t>
  </si>
  <si>
    <t>Acceptable use policy in place, Slack PHI prohibition communicated at onboarding</t>
  </si>
  <si>
    <t>Mitigate — implement Slack DLP integration, add PHI detection keywords, conduct refresher training</t>
  </si>
  <si>
    <t>A.5.10, A.6.3, A.8.11</t>
  </si>
  <si>
    <t>R-014</t>
  </si>
  <si>
    <t>Business Associate Agreement not updated after HIPAA changes</t>
  </si>
  <si>
    <t>Customer BAAs, HIPAA compliance program</t>
  </si>
  <si>
    <t>Regulatory non-compliance</t>
  </si>
  <si>
    <t>No formal BAA review cycle tied to regulatory update monitoring</t>
  </si>
  <si>
    <t>BAAs in place with all 47 hospital customers, legal counsel reviews annually</t>
  </si>
  <si>
    <t>Mitigate — implement BAA review trigger process tied to HHS regulatory updates, review all BAAs within 90 days of any HIPAA amendment</t>
  </si>
  <si>
    <t>A.5.19, A.5.31, A.5.32</t>
  </si>
  <si>
    <t>R-015</t>
  </si>
  <si>
    <t>Disaster recovery plan not tested — unknown RTO capability</t>
  </si>
  <si>
    <t>Business continuity and DR plan</t>
  </si>
  <si>
    <t>Operational failure during real disaster event</t>
  </si>
  <si>
    <t>DR plan exists but annual tabletop exercises not conducted</t>
  </si>
  <si>
    <t>DR plan documented, AWS us-west-2 DR environment provisioned</t>
  </si>
  <si>
    <t>Mitigate — conduct semi-annual DR tabletop exercises and quarterly automated failover tests, document results</t>
  </si>
  <si>
    <t>A.5.29, A.5.30, A.8.13</t>
  </si>
  <si>
    <t>R-016</t>
  </si>
  <si>
    <t>Terminated employee retaining system access</t>
  </si>
  <si>
    <t>All internal systems, Okta identity platform</t>
  </si>
  <si>
    <t>Disgruntled former employee</t>
  </si>
  <si>
    <t>No automated deprovisioning tied to HR offboarding workflow</t>
  </si>
  <si>
    <t>IT Manager manually revokes access upon HR notification</t>
  </si>
  <si>
    <t>Mitigate — automate deprovisioning via Okta-HR system integration, enforce same-day access revocation SLA</t>
  </si>
  <si>
    <t>A.5.18, A.6.5, A.8.2</t>
  </si>
  <si>
    <t>R-017</t>
  </si>
  <si>
    <t>Insufficient encryption of PHI data in transit</t>
  </si>
  <si>
    <t>PHI transmitted via FHIR API and web application</t>
  </si>
  <si>
    <t>Man-in-the-middle attack, network interception</t>
  </si>
  <si>
    <t>TLS configuration not regularly audited, older TLS versions potentially enabled</t>
  </si>
  <si>
    <t>TLS 1.2 enforced on web application, HTTPS required</t>
  </si>
  <si>
    <t>Mitigate — enforce TLS 1.3 minimum across all endpoints, conduct quarterly TLS configuration audit using SSL Labs</t>
  </si>
  <si>
    <t>A.8.24, A.8.20, A.8.21</t>
  </si>
  <si>
    <t>R-018</t>
  </si>
  <si>
    <t>Security awareness training completion below 95%</t>
  </si>
  <si>
    <t>Employee security awareness program</t>
  </si>
  <si>
    <t>Uninformed employees susceptible to social engineering</t>
  </si>
  <si>
    <t>No automated training completion tracking or escalation process</t>
  </si>
  <si>
    <t>Annual security awareness training assigned via LMS, completion tracked manually</t>
  </si>
  <si>
    <t>Mitigate — implement automated completion tracking with manager escalation for non-completions, add quarterly micro-training modules</t>
  </si>
  <si>
    <t>A.6.3, A.5.4, A.6.8</t>
  </si>
  <si>
    <t>R-019</t>
  </si>
  <si>
    <t>Missing asset inventory for shadow IT devices</t>
  </si>
  <si>
    <t>Corporate network, unmanaged endpoints</t>
  </si>
  <si>
    <t>Unmanaged devices introducing vulnerabilities</t>
  </si>
  <si>
    <t>No automated network discovery tool, asset inventory maintained manually in spreadsheet</t>
  </si>
  <si>
    <t>MDM enrollment required for company devices, network access restricted via policy</t>
  </si>
  <si>
    <t>Mitigate — deploy network discovery tool (Lansweeper or similar), integrate with asset inventory, conduct quarterly reconciliation</t>
  </si>
  <si>
    <t>A.8.1, A.8.9, A.5.9</t>
  </si>
  <si>
    <t>R-020</t>
  </si>
  <si>
    <t>Inadequate retention of audit logs for forensic use</t>
  </si>
  <si>
    <t>Splunk Cloud logs, AWS CloudTrail logs</t>
  </si>
  <si>
    <t>Inability to investigate security incidents or meet compliance requirements</t>
  </si>
  <si>
    <t>Log retention period not formally defined or enforced across all systems</t>
  </si>
  <si>
    <t>CloudTrail enabled, Splunk Cloud retaining 90 days of logs</t>
  </si>
  <si>
    <t>Mitigate — define formal log retention policy (minimum 1 year for HIPAA compliance), implement archival to S3 Glacier for cost-effective long-term retention</t>
  </si>
  <si>
    <t>A.8.15, A.8.16, A.5.28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</si>
</sst>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141413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141413"/>
      <name val="Anthropic-sans"/>
    </font>
    <font>
      <sz val="10"/>
      <color rgb="FF000000"/>
      <name val="Arial"/>
      <family val="2"/>
      <scheme val="minor"/>
    </font>
    <font>
      <sz val="10"/>
      <color rgb="FF141413"/>
      <name val="Arial"/>
      <family val="2"/>
      <scheme val="minor"/>
    </font>
    <font>
      <sz val="10"/>
      <color rgb="FF141413"/>
      <name val="Arial"/>
      <family val="2"/>
      <scheme val="major"/>
    </font>
    <font>
      <b/>
      <sz val="10"/>
      <color rgb="FF14141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7" fillId="2" borderId="0" xfId="0" applyFont="1" applyFill="1"/>
    <xf numFmtId="0" fontId="6" fillId="2" borderId="0" xfId="0" applyFont="1" applyFill="1"/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1" fillId="0" borderId="0" xfId="0" applyFont="1" applyBorder="1"/>
    <xf numFmtId="0" fontId="0" fillId="0" borderId="0" xfId="0" applyBorder="1"/>
    <xf numFmtId="0" fontId="7" fillId="0" borderId="0" xfId="0" applyFont="1" applyBorder="1"/>
    <xf numFmtId="0" fontId="8" fillId="0" borderId="0" xfId="0" applyFont="1" applyBorder="1"/>
    <xf numFmtId="0" fontId="3" fillId="0" borderId="0" xfId="0" applyFont="1" applyBorder="1"/>
    <xf numFmtId="0" fontId="9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0"/>
  <sheetViews>
    <sheetView zoomScale="165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C5" sqref="C5:Q5"/>
    </sheetView>
  </sheetViews>
  <sheetFormatPr baseColWidth="10" defaultColWidth="12.6640625" defaultRowHeight="15.75" customHeight="1"/>
  <cols>
    <col min="1" max="1" width="11.33203125" style="10" customWidth="1"/>
    <col min="2" max="2" width="49.1640625" style="10" customWidth="1"/>
    <col min="3" max="3" width="37.6640625" style="10" customWidth="1"/>
    <col min="4" max="4" width="38.1640625" style="10" customWidth="1"/>
    <col min="5" max="5" width="67.6640625" style="10" customWidth="1"/>
    <col min="6" max="6" width="13.33203125" style="10" customWidth="1"/>
    <col min="7" max="7" width="13.6640625" style="10" customWidth="1"/>
    <col min="8" max="8" width="21.83203125" style="10" customWidth="1"/>
    <col min="9" max="9" width="17.83203125" style="10" customWidth="1"/>
    <col min="10" max="10" width="66.6640625" style="10" bestFit="1" customWidth="1"/>
    <col min="11" max="11" width="107.1640625" style="10" customWidth="1"/>
    <col min="12" max="12" width="11.83203125" style="10" customWidth="1"/>
    <col min="13" max="13" width="14.1640625" style="10" customWidth="1"/>
    <col min="14" max="14" width="17.1640625" style="10" customWidth="1"/>
    <col min="15" max="16384" width="12.6640625" style="10"/>
  </cols>
  <sheetData>
    <row r="1" spans="1:27" s="20" customFormat="1" ht="15.75" customHeight="1">
      <c r="A1" s="17" t="s">
        <v>1</v>
      </c>
      <c r="B1" s="17" t="s">
        <v>2</v>
      </c>
      <c r="C1" s="17" t="s">
        <v>3</v>
      </c>
      <c r="D1" s="17" t="s">
        <v>4</v>
      </c>
      <c r="E1" s="18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9" t="s">
        <v>13</v>
      </c>
      <c r="N1" s="19" t="s">
        <v>14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s="15" customFormat="1" ht="15.75" customHeight="1">
      <c r="A2" s="14" t="s">
        <v>15</v>
      </c>
      <c r="B2" s="11" t="s">
        <v>17</v>
      </c>
      <c r="C2" s="11" t="s">
        <v>18</v>
      </c>
      <c r="D2" s="11" t="s">
        <v>19</v>
      </c>
      <c r="E2" s="11" t="s">
        <v>20</v>
      </c>
      <c r="F2" s="9">
        <v>3</v>
      </c>
      <c r="G2" s="9">
        <v>5</v>
      </c>
      <c r="H2" s="9">
        <f t="shared" ref="H2:H21" si="0">(F2 * G2)</f>
        <v>15</v>
      </c>
      <c r="I2" s="9" t="str">
        <f t="shared" ref="I2:I21" si="1">IF(H2&gt;=16,"Critical",IF(H2&gt;=10,"High",IF(H2&gt;=5,"Medium","Low")))</f>
        <v>High</v>
      </c>
      <c r="J2" s="11" t="s">
        <v>27</v>
      </c>
      <c r="K2" s="11" t="s">
        <v>28</v>
      </c>
      <c r="L2" s="9">
        <v>8</v>
      </c>
      <c r="M2" s="9" t="s">
        <v>29</v>
      </c>
      <c r="N2" s="11" t="s">
        <v>30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5.75" customHeight="1">
      <c r="A3" s="16" t="s">
        <v>31</v>
      </c>
      <c r="B3" s="12" t="s">
        <v>32</v>
      </c>
      <c r="C3" s="9" t="s">
        <v>33</v>
      </c>
      <c r="D3" s="9" t="s">
        <v>34</v>
      </c>
      <c r="E3" s="9" t="s">
        <v>35</v>
      </c>
      <c r="F3" s="9">
        <v>3</v>
      </c>
      <c r="G3" s="9">
        <v>5</v>
      </c>
      <c r="H3" s="9">
        <f t="shared" si="0"/>
        <v>15</v>
      </c>
      <c r="I3" s="9" t="str">
        <f t="shared" si="1"/>
        <v>High</v>
      </c>
      <c r="J3" s="9" t="s">
        <v>36</v>
      </c>
      <c r="K3" s="9" t="s">
        <v>37</v>
      </c>
      <c r="L3" s="9">
        <v>9</v>
      </c>
      <c r="M3" s="9" t="s">
        <v>38</v>
      </c>
      <c r="N3" s="9" t="s">
        <v>39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.75" customHeight="1">
      <c r="A4" s="16" t="s">
        <v>40</v>
      </c>
      <c r="B4" s="12" t="s">
        <v>41</v>
      </c>
      <c r="C4" s="9" t="s">
        <v>42</v>
      </c>
      <c r="D4" s="9" t="s">
        <v>43</v>
      </c>
      <c r="E4" s="9" t="s">
        <v>44</v>
      </c>
      <c r="F4" s="9">
        <v>2</v>
      </c>
      <c r="G4" s="9">
        <v>5</v>
      </c>
      <c r="H4" s="9">
        <f t="shared" si="0"/>
        <v>10</v>
      </c>
      <c r="I4" s="9" t="str">
        <f t="shared" si="1"/>
        <v>High</v>
      </c>
      <c r="J4" s="9" t="s">
        <v>45</v>
      </c>
      <c r="K4" s="9" t="s">
        <v>46</v>
      </c>
      <c r="L4" s="9">
        <v>6</v>
      </c>
      <c r="M4" s="9" t="s">
        <v>47</v>
      </c>
      <c r="N4" s="9" t="s">
        <v>48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5.75" customHeight="1">
      <c r="A5" s="16" t="s">
        <v>49</v>
      </c>
      <c r="B5" s="12" t="s">
        <v>50</v>
      </c>
      <c r="C5" s="9" t="s">
        <v>51</v>
      </c>
      <c r="D5" s="9" t="s">
        <v>52</v>
      </c>
      <c r="E5" s="9" t="s">
        <v>53</v>
      </c>
      <c r="F5" s="9">
        <v>2</v>
      </c>
      <c r="G5" s="9">
        <v>5</v>
      </c>
      <c r="H5" s="9">
        <f t="shared" si="0"/>
        <v>10</v>
      </c>
      <c r="I5" s="9" t="str">
        <f t="shared" si="1"/>
        <v>High</v>
      </c>
      <c r="J5" s="9" t="s">
        <v>54</v>
      </c>
      <c r="K5" s="9" t="s">
        <v>55</v>
      </c>
      <c r="L5" s="9">
        <v>4</v>
      </c>
      <c r="M5" s="9" t="s">
        <v>56</v>
      </c>
      <c r="N5" s="9" t="s">
        <v>57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>
      <c r="A6" s="16" t="s">
        <v>58</v>
      </c>
      <c r="B6" s="12" t="s">
        <v>59</v>
      </c>
      <c r="C6" s="9" t="s">
        <v>60</v>
      </c>
      <c r="D6" s="9" t="s">
        <v>61</v>
      </c>
      <c r="E6" s="9" t="s">
        <v>62</v>
      </c>
      <c r="F6" s="9">
        <v>4</v>
      </c>
      <c r="G6" s="9">
        <v>4</v>
      </c>
      <c r="H6" s="9">
        <f t="shared" si="0"/>
        <v>16</v>
      </c>
      <c r="I6" s="9" t="str">
        <f t="shared" si="1"/>
        <v>Critical</v>
      </c>
      <c r="J6" s="9" t="s">
        <v>63</v>
      </c>
      <c r="K6" s="9" t="s">
        <v>64</v>
      </c>
      <c r="L6" s="9">
        <v>8</v>
      </c>
      <c r="M6" s="9" t="s">
        <v>29</v>
      </c>
      <c r="N6" s="9" t="s">
        <v>65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>
      <c r="A7" s="16" t="s">
        <v>66</v>
      </c>
      <c r="B7" s="11" t="s">
        <v>67</v>
      </c>
      <c r="C7" s="9" t="s">
        <v>68</v>
      </c>
      <c r="D7" s="9" t="s">
        <v>69</v>
      </c>
      <c r="E7" s="9" t="s">
        <v>70</v>
      </c>
      <c r="F7" s="9">
        <v>2</v>
      </c>
      <c r="G7" s="9">
        <v>5</v>
      </c>
      <c r="H7" s="9">
        <f t="shared" si="0"/>
        <v>10</v>
      </c>
      <c r="I7" s="9" t="str">
        <f t="shared" si="1"/>
        <v>High</v>
      </c>
      <c r="J7" s="9" t="s">
        <v>71</v>
      </c>
      <c r="K7" s="9" t="s">
        <v>72</v>
      </c>
      <c r="L7" s="9">
        <v>4</v>
      </c>
      <c r="M7" s="9" t="s">
        <v>56</v>
      </c>
      <c r="N7" s="9" t="s">
        <v>73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.75" customHeight="1">
      <c r="A8" s="16" t="s">
        <v>74</v>
      </c>
      <c r="B8" s="11" t="s">
        <v>75</v>
      </c>
      <c r="C8" s="9" t="s">
        <v>76</v>
      </c>
      <c r="D8" s="9" t="s">
        <v>77</v>
      </c>
      <c r="E8" s="9" t="s">
        <v>78</v>
      </c>
      <c r="F8" s="9">
        <v>2</v>
      </c>
      <c r="G8" s="9">
        <v>4</v>
      </c>
      <c r="H8" s="9">
        <f t="shared" si="0"/>
        <v>8</v>
      </c>
      <c r="I8" s="9" t="str">
        <f t="shared" si="1"/>
        <v>Medium</v>
      </c>
      <c r="J8" s="9" t="s">
        <v>79</v>
      </c>
      <c r="K8" s="9" t="s">
        <v>80</v>
      </c>
      <c r="L8" s="9">
        <v>3</v>
      </c>
      <c r="M8" s="9" t="s">
        <v>38</v>
      </c>
      <c r="N8" s="9" t="s">
        <v>81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.75" customHeight="1">
      <c r="A9" s="16" t="s">
        <v>82</v>
      </c>
      <c r="B9" s="9" t="s">
        <v>83</v>
      </c>
      <c r="C9" s="9" t="s">
        <v>84</v>
      </c>
      <c r="D9" s="9" t="s">
        <v>85</v>
      </c>
      <c r="E9" s="9" t="s">
        <v>86</v>
      </c>
      <c r="F9" s="9">
        <v>2</v>
      </c>
      <c r="G9" s="9">
        <v>4</v>
      </c>
      <c r="H9" s="9">
        <f t="shared" si="0"/>
        <v>8</v>
      </c>
      <c r="I9" s="9" t="str">
        <f t="shared" si="1"/>
        <v>Medium</v>
      </c>
      <c r="J9" s="9" t="s">
        <v>87</v>
      </c>
      <c r="K9" s="9" t="s">
        <v>88</v>
      </c>
      <c r="L9" s="9">
        <v>4</v>
      </c>
      <c r="M9" s="9" t="s">
        <v>89</v>
      </c>
      <c r="N9" s="9" t="s">
        <v>90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>
      <c r="A10" s="16" t="s">
        <v>91</v>
      </c>
      <c r="B10" s="9" t="s">
        <v>92</v>
      </c>
      <c r="C10" s="9" t="s">
        <v>93</v>
      </c>
      <c r="D10" s="9" t="s">
        <v>94</v>
      </c>
      <c r="E10" s="9" t="s">
        <v>95</v>
      </c>
      <c r="F10" s="9">
        <v>3</v>
      </c>
      <c r="G10" s="9">
        <v>3</v>
      </c>
      <c r="H10" s="9">
        <f t="shared" si="0"/>
        <v>9</v>
      </c>
      <c r="I10" s="9" t="str">
        <f t="shared" si="1"/>
        <v>Medium</v>
      </c>
      <c r="J10" s="9" t="s">
        <v>96</v>
      </c>
      <c r="K10" s="9" t="s">
        <v>97</v>
      </c>
      <c r="L10" s="9">
        <v>3</v>
      </c>
      <c r="M10" s="9" t="s">
        <v>38</v>
      </c>
      <c r="N10" s="9" t="s">
        <v>98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customHeight="1">
      <c r="A11" s="16" t="s">
        <v>99</v>
      </c>
      <c r="B11" s="9" t="s">
        <v>100</v>
      </c>
      <c r="C11" s="9" t="s">
        <v>101</v>
      </c>
      <c r="D11" s="9" t="s">
        <v>102</v>
      </c>
      <c r="E11" s="9" t="s">
        <v>103</v>
      </c>
      <c r="F11" s="9">
        <v>3</v>
      </c>
      <c r="G11" s="9">
        <v>4</v>
      </c>
      <c r="H11" s="9">
        <f t="shared" si="0"/>
        <v>12</v>
      </c>
      <c r="I11" s="9" t="str">
        <f t="shared" si="1"/>
        <v>High</v>
      </c>
      <c r="J11" s="9" t="s">
        <v>104</v>
      </c>
      <c r="K11" s="9" t="s">
        <v>105</v>
      </c>
      <c r="L11" s="9">
        <v>6</v>
      </c>
      <c r="M11" s="9" t="s">
        <v>56</v>
      </c>
      <c r="N11" s="9" t="s">
        <v>106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>
      <c r="A12" s="16" t="s">
        <v>107</v>
      </c>
      <c r="B12" s="9" t="s">
        <v>108</v>
      </c>
      <c r="C12" s="9" t="s">
        <v>109</v>
      </c>
      <c r="D12" s="9" t="s">
        <v>110</v>
      </c>
      <c r="E12" s="9" t="s">
        <v>111</v>
      </c>
      <c r="F12" s="9">
        <v>3</v>
      </c>
      <c r="G12" s="9">
        <v>4</v>
      </c>
      <c r="H12" s="9">
        <f t="shared" si="0"/>
        <v>12</v>
      </c>
      <c r="I12" s="9" t="str">
        <f t="shared" si="1"/>
        <v>High</v>
      </c>
      <c r="J12" s="9" t="s">
        <v>112</v>
      </c>
      <c r="K12" s="9" t="s">
        <v>113</v>
      </c>
      <c r="L12" s="9">
        <v>5</v>
      </c>
      <c r="M12" s="9" t="s">
        <v>56</v>
      </c>
      <c r="N12" s="9" t="s">
        <v>114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>
      <c r="A13" s="16" t="s">
        <v>115</v>
      </c>
      <c r="B13" s="9" t="s">
        <v>116</v>
      </c>
      <c r="C13" s="9" t="s">
        <v>117</v>
      </c>
      <c r="D13" s="9" t="s">
        <v>118</v>
      </c>
      <c r="E13" s="9" t="s">
        <v>119</v>
      </c>
      <c r="F13" s="9">
        <v>1</v>
      </c>
      <c r="G13" s="9">
        <v>4</v>
      </c>
      <c r="H13" s="9">
        <f t="shared" si="0"/>
        <v>4</v>
      </c>
      <c r="I13" s="9" t="str">
        <f t="shared" si="1"/>
        <v>Low</v>
      </c>
      <c r="J13" s="9" t="s">
        <v>120</v>
      </c>
      <c r="K13" s="9" t="s">
        <v>121</v>
      </c>
      <c r="L13" s="9">
        <v>2</v>
      </c>
      <c r="M13" s="9" t="s">
        <v>38</v>
      </c>
      <c r="N13" s="9" t="s">
        <v>122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>
      <c r="A14" s="16" t="s">
        <v>123</v>
      </c>
      <c r="B14" s="9" t="s">
        <v>124</v>
      </c>
      <c r="C14" s="9" t="s">
        <v>125</v>
      </c>
      <c r="D14" s="9" t="s">
        <v>126</v>
      </c>
      <c r="E14" s="9" t="s">
        <v>127</v>
      </c>
      <c r="F14" s="9">
        <v>3</v>
      </c>
      <c r="G14" s="9">
        <v>3</v>
      </c>
      <c r="H14" s="9">
        <f t="shared" si="0"/>
        <v>9</v>
      </c>
      <c r="I14" s="9" t="str">
        <f t="shared" si="1"/>
        <v>Medium</v>
      </c>
      <c r="J14" s="9" t="s">
        <v>128</v>
      </c>
      <c r="K14" s="9" t="s">
        <v>129</v>
      </c>
      <c r="L14" s="9">
        <v>4</v>
      </c>
      <c r="M14" s="9" t="s">
        <v>47</v>
      </c>
      <c r="N14" s="9" t="s">
        <v>130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 customHeight="1">
      <c r="A15" s="16" t="s">
        <v>131</v>
      </c>
      <c r="B15" s="11" t="s">
        <v>132</v>
      </c>
      <c r="C15" s="9" t="s">
        <v>133</v>
      </c>
      <c r="D15" s="9" t="s">
        <v>134</v>
      </c>
      <c r="E15" s="9" t="s">
        <v>135</v>
      </c>
      <c r="F15" s="9">
        <v>2</v>
      </c>
      <c r="G15" s="9">
        <v>4</v>
      </c>
      <c r="H15" s="9">
        <f t="shared" si="0"/>
        <v>8</v>
      </c>
      <c r="I15" s="9" t="str">
        <f t="shared" si="1"/>
        <v>Medium</v>
      </c>
      <c r="J15" s="9" t="s">
        <v>136</v>
      </c>
      <c r="K15" s="9" t="s">
        <v>137</v>
      </c>
      <c r="L15" s="9">
        <v>3</v>
      </c>
      <c r="M15" s="9" t="s">
        <v>47</v>
      </c>
      <c r="N15" s="9" t="s">
        <v>138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>
      <c r="A16" s="16" t="s">
        <v>139</v>
      </c>
      <c r="B16" s="11" t="s">
        <v>140</v>
      </c>
      <c r="C16" s="9" t="s">
        <v>141</v>
      </c>
      <c r="D16" s="9" t="s">
        <v>142</v>
      </c>
      <c r="E16" s="9" t="s">
        <v>143</v>
      </c>
      <c r="F16" s="9">
        <v>2</v>
      </c>
      <c r="G16" s="9">
        <v>4</v>
      </c>
      <c r="H16" s="9">
        <f t="shared" si="0"/>
        <v>8</v>
      </c>
      <c r="I16" s="9" t="str">
        <f t="shared" si="1"/>
        <v>Medium</v>
      </c>
      <c r="J16" s="9" t="s">
        <v>144</v>
      </c>
      <c r="K16" s="9" t="s">
        <v>145</v>
      </c>
      <c r="L16" s="9">
        <v>3</v>
      </c>
      <c r="M16" s="9" t="s">
        <v>89</v>
      </c>
      <c r="N16" s="9" t="s">
        <v>146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 customHeight="1">
      <c r="A17" s="16" t="s">
        <v>147</v>
      </c>
      <c r="B17" s="9" t="s">
        <v>148</v>
      </c>
      <c r="C17" s="9" t="s">
        <v>149</v>
      </c>
      <c r="D17" s="9" t="s">
        <v>150</v>
      </c>
      <c r="E17" s="9" t="s">
        <v>151</v>
      </c>
      <c r="F17" s="9">
        <v>2</v>
      </c>
      <c r="G17" s="9">
        <v>4</v>
      </c>
      <c r="H17" s="9">
        <f t="shared" si="0"/>
        <v>8</v>
      </c>
      <c r="I17" s="9" t="str">
        <f t="shared" si="1"/>
        <v>Medium</v>
      </c>
      <c r="J17" s="9" t="s">
        <v>152</v>
      </c>
      <c r="K17" s="9" t="s">
        <v>153</v>
      </c>
      <c r="L17" s="9">
        <v>2</v>
      </c>
      <c r="M17" s="9" t="s">
        <v>38</v>
      </c>
      <c r="N17" s="9" t="s">
        <v>154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>
      <c r="A18" s="16" t="s">
        <v>155</v>
      </c>
      <c r="B18" s="9" t="s">
        <v>156</v>
      </c>
      <c r="C18" s="9" t="s">
        <v>157</v>
      </c>
      <c r="D18" s="9" t="s">
        <v>158</v>
      </c>
      <c r="E18" s="9" t="s">
        <v>159</v>
      </c>
      <c r="F18" s="9">
        <v>2</v>
      </c>
      <c r="G18" s="9">
        <v>5</v>
      </c>
      <c r="H18" s="9">
        <f t="shared" si="0"/>
        <v>10</v>
      </c>
      <c r="I18" s="9" t="str">
        <f t="shared" si="1"/>
        <v>High</v>
      </c>
      <c r="J18" s="9" t="s">
        <v>160</v>
      </c>
      <c r="K18" s="9" t="s">
        <v>161</v>
      </c>
      <c r="L18" s="9">
        <v>3</v>
      </c>
      <c r="M18" s="9" t="s">
        <v>56</v>
      </c>
      <c r="N18" s="9" t="s">
        <v>162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 customHeight="1">
      <c r="A19" s="16" t="s">
        <v>163</v>
      </c>
      <c r="B19" s="9" t="s">
        <v>164</v>
      </c>
      <c r="C19" s="9" t="s">
        <v>165</v>
      </c>
      <c r="D19" s="9" t="s">
        <v>166</v>
      </c>
      <c r="E19" s="9" t="s">
        <v>167</v>
      </c>
      <c r="F19" s="9">
        <v>3</v>
      </c>
      <c r="G19" s="9">
        <v>2</v>
      </c>
      <c r="H19" s="9">
        <f t="shared" si="0"/>
        <v>6</v>
      </c>
      <c r="I19" s="9" t="str">
        <f t="shared" si="1"/>
        <v>Medium</v>
      </c>
      <c r="J19" s="9" t="s">
        <v>168</v>
      </c>
      <c r="K19" s="9" t="s">
        <v>169</v>
      </c>
      <c r="L19" s="9">
        <v>2</v>
      </c>
      <c r="M19" s="9" t="s">
        <v>47</v>
      </c>
      <c r="N19" s="9" t="s">
        <v>170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>
      <c r="A20" s="16" t="s">
        <v>171</v>
      </c>
      <c r="B20" s="11" t="s">
        <v>172</v>
      </c>
      <c r="C20" s="9" t="s">
        <v>173</v>
      </c>
      <c r="D20" s="9" t="s">
        <v>174</v>
      </c>
      <c r="E20" s="9" t="s">
        <v>175</v>
      </c>
      <c r="F20" s="9">
        <v>3</v>
      </c>
      <c r="G20" s="9">
        <v>3</v>
      </c>
      <c r="H20" s="9">
        <f t="shared" si="0"/>
        <v>9</v>
      </c>
      <c r="I20" s="9" t="str">
        <f t="shared" si="1"/>
        <v>Medium</v>
      </c>
      <c r="J20" s="9" t="s">
        <v>176</v>
      </c>
      <c r="K20" s="9" t="s">
        <v>177</v>
      </c>
      <c r="L20" s="9">
        <v>4</v>
      </c>
      <c r="M20" s="9" t="s">
        <v>38</v>
      </c>
      <c r="N20" s="9" t="s">
        <v>178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>
      <c r="A21" s="16" t="s">
        <v>179</v>
      </c>
      <c r="B21" s="11" t="s">
        <v>180</v>
      </c>
      <c r="C21" s="9" t="s">
        <v>181</v>
      </c>
      <c r="D21" s="9" t="s">
        <v>182</v>
      </c>
      <c r="E21" s="9" t="s">
        <v>183</v>
      </c>
      <c r="F21" s="9">
        <v>2</v>
      </c>
      <c r="G21" s="9">
        <v>3</v>
      </c>
      <c r="H21" s="9">
        <f t="shared" si="0"/>
        <v>6</v>
      </c>
      <c r="I21" s="9" t="str">
        <f t="shared" si="1"/>
        <v>Medium</v>
      </c>
      <c r="J21" s="9" t="s">
        <v>184</v>
      </c>
      <c r="K21" s="9" t="s">
        <v>185</v>
      </c>
      <c r="L21" s="9">
        <v>2</v>
      </c>
      <c r="M21" s="9" t="s">
        <v>47</v>
      </c>
      <c r="N21" s="9" t="s">
        <v>186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>
      <c r="A22" s="13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>
      <c r="A23" s="13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>
      <c r="A24" s="13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>
      <c r="A25" s="1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>
      <c r="A26" s="1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>
      <c r="A27" s="13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>
      <c r="A29" s="13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>
      <c r="A30" s="13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>
      <c r="A31" s="1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>
      <c r="A32" s="13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>
      <c r="A33" s="13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>
      <c r="A34" s="13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>
      <c r="A35" s="13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>
      <c r="A36" s="13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>
      <c r="A37" s="13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>
      <c r="A38" s="13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>
      <c r="A39" s="1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>
      <c r="A40" s="13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>
      <c r="A41" s="13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>
      <c r="A42" s="13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>
      <c r="A43" s="13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>
      <c r="A44" s="13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>
      <c r="A45" s="13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>
      <c r="A46" s="13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>
      <c r="A47" s="13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3">
      <c r="A48" s="1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3">
      <c r="A49" s="13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3">
      <c r="A50" s="1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">
      <c r="A51" s="13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3">
      <c r="A52" s="13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">
      <c r="A53" s="1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3">
      <c r="A55" s="13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3">
      <c r="A56" s="13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3">
      <c r="A57" s="13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3">
      <c r="A58" s="13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">
      <c r="A59" s="13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3">
      <c r="A60" s="13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3">
      <c r="A61" s="13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">
      <c r="A62" s="13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3">
      <c r="A63" s="13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3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">
      <c r="A66" s="13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3">
      <c r="A71" s="13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3">
      <c r="A72" s="13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">
      <c r="A73" s="13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">
      <c r="A74" s="13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">
      <c r="A75" s="13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">
      <c r="A78" s="13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3">
      <c r="A79" s="13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3">
      <c r="A80" s="13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3">
      <c r="A83" s="13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3">
      <c r="A84" s="13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">
      <c r="A85" s="13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3">
      <c r="A86" s="13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3">
      <c r="A91" s="13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">
      <c r="A92" s="13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">
      <c r="A93" s="1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">
      <c r="A94" s="13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">
      <c r="A95" s="13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">
      <c r="A96" s="1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">
      <c r="A97" s="1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">
      <c r="A100" s="13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">
      <c r="A101" s="13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">
      <c r="A102" s="13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">
      <c r="A103" s="13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">
      <c r="A104" s="13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">
      <c r="A107" s="13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">
      <c r="A108" s="13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">
      <c r="A115" s="13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">
      <c r="A116" s="13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">
      <c r="A117" s="13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">
      <c r="A118" s="13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">
      <c r="A119" s="13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">
      <c r="A120" s="13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">
      <c r="A121" s="13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">
      <c r="A122" s="13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">
      <c r="A123" s="13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">
      <c r="A124" s="13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">
      <c r="A125" s="13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">
      <c r="A126" s="13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">
      <c r="A127" s="13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">
      <c r="A130" s="13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">
      <c r="A131" s="13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">
      <c r="A132" s="13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">
      <c r="A133" s="13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">
      <c r="A134" s="13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">
      <c r="A143" s="13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">
      <c r="A144" s="13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">
      <c r="A145" s="13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">
      <c r="A146" s="13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">
      <c r="A147" s="13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">
      <c r="A150" s="13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">
      <c r="A151" s="13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">
      <c r="A152" s="13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">
      <c r="A153" s="13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">
      <c r="A154" s="13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">
      <c r="A155" s="13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3">
      <c r="A156" s="13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3">
      <c r="A157" s="13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3">
      <c r="A160" s="13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3">
      <c r="A167" s="13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3">
      <c r="A168" s="13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3">
      <c r="A169" s="13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3">
      <c r="A170" s="13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3">
      <c r="A171" s="13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3">
      <c r="A174" s="13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3">
      <c r="A175" s="13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3">
      <c r="A180" s="13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3">
      <c r="A181" s="13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3">
      <c r="A184" s="13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3">
      <c r="A185" s="13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3">
      <c r="A192" s="13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3">
      <c r="A193" s="13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3">
      <c r="A194" s="13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3">
      <c r="A195" s="13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3">
      <c r="A196" s="13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3">
      <c r="A201" s="13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3">
      <c r="A202" s="13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3">
      <c r="A203" s="1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3">
      <c r="A204" s="1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3">
      <c r="A205" s="1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3">
      <c r="A206" s="1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3">
      <c r="A207" s="1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3">
      <c r="A210" s="1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3">
      <c r="A211" s="1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3">
      <c r="A212" s="1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3">
      <c r="A213" s="1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3">
      <c r="A214" s="1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3">
      <c r="A215" s="1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3">
      <c r="A219" s="1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3">
      <c r="A220" s="1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3">
      <c r="A221" s="1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3">
      <c r="A222" s="1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3">
      <c r="A223" s="1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3">
      <c r="A224" s="1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3">
      <c r="A225" s="1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3">
      <c r="A226" s="1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3">
      <c r="A231" s="1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3">
      <c r="A232" s="1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3">
      <c r="A233" s="1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3">
      <c r="A234" s="1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3">
      <c r="A235" s="1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3">
      <c r="A236" s="1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3">
      <c r="A237" s="1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3">
      <c r="A238" s="1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3">
      <c r="A239" s="1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3">
      <c r="A240" s="1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3">
      <c r="A241" s="1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3">
      <c r="A242" s="1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3">
      <c r="A243" s="1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3">
      <c r="A244" s="1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3">
      <c r="A245" s="1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3">
      <c r="A246" s="1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3">
      <c r="A247" s="1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3">
      <c r="A248" s="1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3">
      <c r="A249" s="1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3">
      <c r="A250" s="1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3">
      <c r="A251" s="1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3">
      <c r="A252" s="1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3">
      <c r="A253" s="1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3">
      <c r="A254" s="1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3">
      <c r="A255" s="1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3">
      <c r="A256" s="1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3">
      <c r="A257" s="1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3">
      <c r="A258" s="1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3">
      <c r="A259" s="1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3">
      <c r="A260" s="1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3">
      <c r="A261" s="1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3">
      <c r="A263" s="1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3">
      <c r="A265" s="1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3">
      <c r="A266" s="1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3">
      <c r="A267" s="1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3">
      <c r="A268" s="1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3">
      <c r="A269" s="1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3">
      <c r="A271" s="1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3">
      <c r="A272" s="1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3">
      <c r="A273" s="1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3">
      <c r="A274" s="1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3">
      <c r="A275" s="1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3">
      <c r="A276" s="1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3">
      <c r="A277" s="1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3">
      <c r="A278" s="1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3">
      <c r="A279" s="1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3">
      <c r="A280" s="1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3">
      <c r="A281" s="1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3">
      <c r="A282" s="1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3">
      <c r="A283" s="1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3">
      <c r="A284" s="1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3">
      <c r="A285" s="1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3">
      <c r="A286" s="1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3">
      <c r="A287" s="1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3">
      <c r="A288" s="1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3">
      <c r="A289" s="1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3">
      <c r="A290" s="1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3">
      <c r="A291" s="1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3">
      <c r="A292" s="1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3">
      <c r="A293" s="1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3">
      <c r="A294" s="1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3">
      <c r="A295" s="1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3">
      <c r="A296" s="1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3">
      <c r="A297" s="1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3">
      <c r="A298" s="1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3">
      <c r="A299" s="1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3">
      <c r="A300" s="1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3">
      <c r="A301" s="1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3">
      <c r="A302" s="1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3">
      <c r="A303" s="1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3">
      <c r="A304" s="1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3">
      <c r="A305" s="1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3">
      <c r="A306" s="1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3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3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3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3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3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3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3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3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3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3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3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3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3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3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3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3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3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3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3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3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3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3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3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3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3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3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3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3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3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3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3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3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3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3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3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3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3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3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3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3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3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3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3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3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3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3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3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3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3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3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3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3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3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3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3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3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3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3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3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3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3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3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3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3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3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3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3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3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3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3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3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3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3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3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3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3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3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3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3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3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3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3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3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3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3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3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3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3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3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3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3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3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3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3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3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3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3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3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3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3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3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3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3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3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3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3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3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3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3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3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3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3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3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3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3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3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3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3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3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3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3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3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3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3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3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3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3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3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3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3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3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3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3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3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3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3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3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3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3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3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3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3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3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3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3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3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3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3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3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3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3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3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3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3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3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3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3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3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3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3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3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3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3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3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3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3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3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3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3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3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3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3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3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3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3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3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3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3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3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3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3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3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3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3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3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3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3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3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3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3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3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3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3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3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3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3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3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3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3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3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3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3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3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3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3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3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3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3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3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3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3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3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3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3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3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3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3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3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3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3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3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3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3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3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3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3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3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3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3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3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3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3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3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3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3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3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3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3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3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3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3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3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3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3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3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3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3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3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3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3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3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3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3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3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3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3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3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3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3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3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3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3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3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3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3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3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3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3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3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3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3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3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3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3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3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3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3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3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3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3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3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3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3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3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3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3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3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3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3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3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3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3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3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3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3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3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3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3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3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3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3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3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3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3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3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3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3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3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3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3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3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3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3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3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3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3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3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3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3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3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3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3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3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3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3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3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3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3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3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3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3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3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3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3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3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3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3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3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3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3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3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3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3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3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3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3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3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3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3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3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3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3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3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3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3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3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3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3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3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3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3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3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3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3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3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3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3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3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3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3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3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3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3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3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3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3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3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3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3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3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3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3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3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3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3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3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3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3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3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3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3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3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3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3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3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3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3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3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3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3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3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3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3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3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3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3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3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3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3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3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3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3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3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3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3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3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3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3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3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3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3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3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3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3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3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3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3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3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3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3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3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3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3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3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3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3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3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3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3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3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3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3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3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3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3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3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3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3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3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3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3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3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3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3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3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3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3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3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3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3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3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3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3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3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3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3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3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3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3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3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3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3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3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3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3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3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3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3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3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3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3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3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3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3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3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3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3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3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3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3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3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3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3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3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3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3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3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3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3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3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3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3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3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3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3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3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3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3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3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3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3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3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3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3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3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3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3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3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3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3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3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3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3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3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3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3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3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3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3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3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3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3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3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3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3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3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3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3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3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3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3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3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3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3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3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3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3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3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3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3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3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3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3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3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3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3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3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3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3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3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3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3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3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3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3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3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3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3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3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3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3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3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3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3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3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3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3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3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3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3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3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3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3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3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3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3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3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3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3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3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3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3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3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3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3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3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3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3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3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3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3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3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3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3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3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3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3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3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3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3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3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3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3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3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3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3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3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3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3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3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3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3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3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3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3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3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3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3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3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3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3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3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3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3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3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3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3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3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3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3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3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3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3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3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3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3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3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3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3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3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3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3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3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3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3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3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3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3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3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3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3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3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3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3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3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3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3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3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3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3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3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3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3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3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3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3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3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3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3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3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3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3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3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3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3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3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3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3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3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3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3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3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3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3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topLeftCell="A2" zoomScale="150" workbookViewId="0">
      <selection activeCell="A10" sqref="A10"/>
    </sheetView>
  </sheetViews>
  <sheetFormatPr baseColWidth="10" defaultColWidth="12.6640625" defaultRowHeight="15.75" customHeight="1"/>
  <cols>
    <col min="1" max="1" width="50.1640625" style="7" customWidth="1"/>
    <col min="2" max="16384" width="12.6640625" style="7"/>
  </cols>
  <sheetData>
    <row r="1" spans="1:26" s="5" customFormat="1" ht="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6" customHeight="1">
      <c r="A2" s="6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5" customFormat="1" ht="17" customHeight="1">
      <c r="A3" s="4" t="s">
        <v>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09" customHeight="1">
      <c r="A4" s="6" t="s">
        <v>22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5" customFormat="1" ht="13">
      <c r="A5" s="4" t="s">
        <v>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5" customFormat="1" ht="13">
      <c r="A6" s="4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8" customHeight="1">
      <c r="A7" s="6" t="s">
        <v>25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6" t="s">
        <v>26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>
      <c r="A9" s="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Gupta, Isha</cp:lastModifiedBy>
  <dcterms:created xsi:type="dcterms:W3CDTF">2026-09-12T20:05:24Z</dcterms:created>
  <dcterms:modified xsi:type="dcterms:W3CDTF">2026-09-12T20:05:24Z</dcterms:modified>
</cp:coreProperties>
</file>